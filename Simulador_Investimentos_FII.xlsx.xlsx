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815fca9052706f/Documentos/"/>
    </mc:Choice>
  </mc:AlternateContent>
  <xr:revisionPtr revIDLastSave="90" documentId="8_{E8FD82E7-D153-4050-9DD4-7F8F4CFB70B1}" xr6:coauthVersionLast="47" xr6:coauthVersionMax="47" xr10:uidLastSave="{B9AE06F6-469D-4FFE-A003-559E82DF6061}"/>
  <bookViews>
    <workbookView xWindow="-108" yWindow="-108" windowWidth="23256" windowHeight="12456" xr2:uid="{8B6D1CB8-873A-4EC4-98DE-FA5058F5F5CA}"/>
  </bookViews>
  <sheets>
    <sheet name="SIMULADOR" sheetId="1" r:id="rId1"/>
    <sheet name="BASE" sheetId="2" r:id="rId2"/>
  </sheets>
  <definedNames>
    <definedName name="aA">SIMULADOR!$S$13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4" i="1" l="1"/>
  <c r="E45" i="1"/>
  <c r="E46" i="1"/>
  <c r="F46" i="1" s="1"/>
  <c r="E47" i="1"/>
  <c r="F47" i="1" s="1"/>
  <c r="E48" i="1"/>
  <c r="E43" i="1"/>
  <c r="F43" i="1" s="1"/>
  <c r="F44" i="1"/>
  <c r="F45" i="1"/>
  <c r="F48" i="1"/>
  <c r="F39" i="1"/>
  <c r="E21" i="1"/>
  <c r="E24" i="1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E29" i="1" l="1"/>
  <c r="F29" i="1" s="1"/>
  <c r="E25" i="1"/>
  <c r="E26" i="1" s="1"/>
  <c r="E30" i="1"/>
  <c r="F30" i="1" s="1"/>
  <c r="E31" i="1"/>
  <c r="F31" i="1" s="1"/>
  <c r="E32" i="1"/>
  <c r="F32" i="1" s="1"/>
  <c r="E33" i="1"/>
  <c r="F33" i="1" s="1"/>
</calcChain>
</file>

<file path=xl/sharedStrings.xml><?xml version="1.0" encoding="utf-8"?>
<sst xmlns="http://schemas.openxmlformats.org/spreadsheetml/2006/main" count="70" uniqueCount="32">
  <si>
    <t>Investimento Mensal</t>
  </si>
  <si>
    <t>Quanto invertir por mês ?</t>
  </si>
  <si>
    <t>Por quantos anos investir ?</t>
  </si>
  <si>
    <t>Patrimonio acumulado ?</t>
  </si>
  <si>
    <t>Dividendos mensais ?</t>
  </si>
  <si>
    <t>CHAVE</t>
  </si>
  <si>
    <t>PERFIL</t>
  </si>
  <si>
    <t>TIPO DE FII</t>
  </si>
  <si>
    <t>%</t>
  </si>
  <si>
    <t>CONSERVADOR</t>
  </si>
  <si>
    <t>PAPEL</t>
  </si>
  <si>
    <t>TIJOLO</t>
  </si>
  <si>
    <t>HÍBRIDOS</t>
  </si>
  <si>
    <t>FOFs</t>
  </si>
  <si>
    <t>DESENVOLVIMENTO</t>
  </si>
  <si>
    <t>HOTELARIAS</t>
  </si>
  <si>
    <t>MODERADO</t>
  </si>
  <si>
    <t>AGRESSIVO</t>
  </si>
  <si>
    <t>Taxa de rendimento mensal</t>
  </si>
  <si>
    <t>Taxa de rendimento anual</t>
  </si>
  <si>
    <t>Quanto em anos?</t>
  </si>
  <si>
    <t>Cenários</t>
  </si>
  <si>
    <t>Dividendo</t>
  </si>
  <si>
    <t>Configurações</t>
  </si>
  <si>
    <t>Salário</t>
  </si>
  <si>
    <t>Rendimento Carteira</t>
  </si>
  <si>
    <t>Sugestão de investimento</t>
  </si>
  <si>
    <t>Pefil</t>
  </si>
  <si>
    <t>Valor a ser investido por mês:</t>
  </si>
  <si>
    <t>TIPOS DE FFI</t>
  </si>
  <si>
    <t>Percentual Sugerido</t>
  </si>
  <si>
    <t>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</si>
</sst>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71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006666"/>
      </bottom>
      <diagonal/>
    </border>
    <border>
      <left/>
      <right/>
      <top/>
      <bottom style="thick">
        <color rgb="FF006666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3" borderId="5" xfId="0" applyFill="1" applyBorder="1"/>
    <xf numFmtId="0" fontId="0" fillId="3" borderId="8" xfId="0" applyFill="1" applyBorder="1"/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10" fontId="2" fillId="0" borderId="15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71" fontId="2" fillId="0" borderId="13" xfId="1" applyNumberFormat="1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0" borderId="0" xfId="0" applyFont="1" applyAlignment="1">
      <alignment horizontal="left" indent="1"/>
    </xf>
    <xf numFmtId="0" fontId="6" fillId="0" borderId="0" xfId="0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6" fillId="0" borderId="19" xfId="0" applyFont="1" applyBorder="1" applyAlignment="1">
      <alignment horizontal="left" indent="1"/>
    </xf>
    <xf numFmtId="0" fontId="6" fillId="0" borderId="19" xfId="0" applyFont="1" applyBorder="1" applyAlignment="1">
      <alignment horizontal="center"/>
    </xf>
    <xf numFmtId="9" fontId="6" fillId="0" borderId="19" xfId="0" applyNumberFormat="1" applyFont="1" applyBorder="1" applyAlignment="1">
      <alignment horizontal="center"/>
    </xf>
    <xf numFmtId="0" fontId="6" fillId="0" borderId="20" xfId="0" applyFont="1" applyBorder="1" applyAlignment="1">
      <alignment horizontal="left" indent="1"/>
    </xf>
    <xf numFmtId="0" fontId="6" fillId="0" borderId="20" xfId="0" applyFont="1" applyBorder="1" applyAlignment="1">
      <alignment horizontal="center"/>
    </xf>
    <xf numFmtId="9" fontId="6" fillId="0" borderId="20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171" fontId="2" fillId="0" borderId="9" xfId="1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vertical="center"/>
    </xf>
    <xf numFmtId="171" fontId="2" fillId="0" borderId="15" xfId="1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171" fontId="2" fillId="0" borderId="17" xfId="1" applyNumberFormat="1" applyFont="1" applyBorder="1" applyAlignment="1">
      <alignment horizontal="center" vertical="center"/>
    </xf>
    <xf numFmtId="171" fontId="2" fillId="0" borderId="18" xfId="1" applyNumberFormat="1" applyFont="1" applyBorder="1" applyAlignment="1">
      <alignment horizontal="center" vertical="center"/>
    </xf>
    <xf numFmtId="9" fontId="2" fillId="0" borderId="13" xfId="2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Border="1"/>
    <xf numFmtId="8" fontId="0" fillId="3" borderId="0" xfId="0" applyNumberFormat="1" applyFill="1" applyBorder="1"/>
    <xf numFmtId="8" fontId="0" fillId="3" borderId="5" xfId="0" applyNumberFormat="1" applyFill="1" applyBorder="1"/>
    <xf numFmtId="0" fontId="0" fillId="3" borderId="6" xfId="0" applyFill="1" applyBorder="1"/>
    <xf numFmtId="0" fontId="0" fillId="3" borderId="7" xfId="0" applyFill="1" applyBorder="1"/>
    <xf numFmtId="0" fontId="5" fillId="5" borderId="14" xfId="0" applyFont="1" applyFill="1" applyBorder="1" applyAlignment="1">
      <alignment horizontal="left"/>
    </xf>
    <xf numFmtId="0" fontId="5" fillId="5" borderId="9" xfId="0" applyFont="1" applyFill="1" applyBorder="1" applyAlignment="1">
      <alignment horizontal="left"/>
    </xf>
    <xf numFmtId="8" fontId="2" fillId="5" borderId="15" xfId="0" applyNumberFormat="1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left"/>
    </xf>
    <xf numFmtId="0" fontId="5" fillId="5" borderId="17" xfId="0" applyFont="1" applyFill="1" applyBorder="1" applyAlignment="1">
      <alignment horizontal="left"/>
    </xf>
    <xf numFmtId="171" fontId="2" fillId="5" borderId="18" xfId="0" applyNumberFormat="1" applyFont="1" applyFill="1" applyBorder="1" applyAlignment="1">
      <alignment horizontal="center" vertical="center"/>
    </xf>
    <xf numFmtId="9" fontId="2" fillId="0" borderId="13" xfId="2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171" fontId="5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9" fontId="0" fillId="0" borderId="9" xfId="2" applyFont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1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9" fontId="0" fillId="0" borderId="17" xfId="2" applyFont="1" applyBorder="1" applyAlignment="1">
      <alignment horizontal="center" vertical="center"/>
    </xf>
    <xf numFmtId="171" fontId="0" fillId="0" borderId="18" xfId="0" applyNumberFormat="1" applyBorder="1" applyAlignment="1">
      <alignment horizontal="center" vertical="center"/>
    </xf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0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7" xfId="0" applyFill="1" applyBorder="1"/>
    <xf numFmtId="0" fontId="0" fillId="6" borderId="8" xfId="0" applyFill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SIMULADOR!$E$42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SIMULADOR!$B$43:$B$48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SIMULADOR!$E$43:$E$48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D-4C1C-A809-97062582CF3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945747670753987"/>
          <c:y val="0.32769191333889314"/>
          <c:w val="0.29345709542309173"/>
          <c:h val="0.469405232551772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SIMULADOR!$F$42</c:f>
              <c:strCache>
                <c:ptCount val="1"/>
                <c:pt idx="0">
                  <c:v>Valores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SIMULADOR!$B$43:$B$48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SIMULADOR!$F$43:$F$48</c:f>
              <c:numCache>
                <c:formatCode>"R$"\ #,##0.00</c:formatCode>
                <c:ptCount val="6"/>
                <c:pt idx="0">
                  <c:v>78</c:v>
                </c:pt>
                <c:pt idx="1">
                  <c:v>130</c:v>
                </c:pt>
                <c:pt idx="2">
                  <c:v>26</c:v>
                </c:pt>
                <c:pt idx="3">
                  <c:v>26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6-41B1-B9A4-60FAD9757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9302736"/>
        <c:axId val="13520037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SIMULADOR!$C$42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SIMULADOR!$B$43:$B$48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HÍBRIDOS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SIMULADOR!$C$43:$C$48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7F6-41B1-B9A4-60FAD9757E4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SIMULADOR!$D$42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SIMULADOR!$B$43:$B$48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HÍBRIDOS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SIMULADOR!$D$43:$D$48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7F6-41B1-B9A4-60FAD9757E47}"/>
                  </c:ext>
                </c:extLst>
              </c15:ser>
            </c15:filteredBarSeries>
          </c:ext>
        </c:extLst>
      </c:barChart>
      <c:catAx>
        <c:axId val="130930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2003728"/>
        <c:crosses val="autoZero"/>
        <c:auto val="1"/>
        <c:lblAlgn val="ctr"/>
        <c:lblOffset val="100"/>
        <c:noMultiLvlLbl val="0"/>
      </c:catAx>
      <c:valAx>
        <c:axId val="135200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930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72573</xdr:colOff>
      <xdr:row>0</xdr:row>
      <xdr:rowOff>60708</xdr:rowOff>
    </xdr:from>
    <xdr:to>
      <xdr:col>5</xdr:col>
      <xdr:colOff>1558290</xdr:colOff>
      <xdr:row>9</xdr:row>
      <xdr:rowOff>95250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3775C2F-FAC1-1637-49F8-1502BB735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3" y="56898"/>
          <a:ext cx="7499802" cy="1663317"/>
        </a:xfrm>
        <a:prstGeom prst="rect">
          <a:avLst/>
        </a:prstGeom>
        <a:solidFill>
          <a:srgbClr val="000000">
            <a:shade val="95000"/>
          </a:srgbClr>
        </a:solidFill>
        <a:ln w="444500" cap="sq">
          <a:solidFill>
            <a:srgbClr val="000000"/>
          </a:solidFill>
          <a:miter lim="800000"/>
        </a:ln>
        <a:effectLst>
          <a:outerShdw blurRad="254000" dist="190500" dir="2700000" sy="90000" algn="bl" rotWithShape="0">
            <a:srgbClr val="000000">
              <a:alpha val="40000"/>
            </a:srgbClr>
          </a:outerShdw>
        </a:effectLst>
      </xdr:spPr>
    </xdr:pic>
    <xdr:clientData/>
  </xdr:twoCellAnchor>
  <xdr:twoCellAnchor>
    <xdr:from>
      <xdr:col>0</xdr:col>
      <xdr:colOff>211455</xdr:colOff>
      <xdr:row>48</xdr:row>
      <xdr:rowOff>115252</xdr:rowOff>
    </xdr:from>
    <xdr:to>
      <xdr:col>4</xdr:col>
      <xdr:colOff>944880</xdr:colOff>
      <xdr:row>63</xdr:row>
      <xdr:rowOff>141922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985C23-553F-A0E7-C716-6BBE4E5BE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1234440</xdr:colOff>
      <xdr:row>48</xdr:row>
      <xdr:rowOff>125730</xdr:rowOff>
    </xdr:from>
    <xdr:to>
      <xdr:col>6</xdr:col>
      <xdr:colOff>274320</xdr:colOff>
      <xdr:row>63</xdr:row>
      <xdr:rowOff>125730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239DF86-1FF8-FC67-372A-D8153246F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6E27-4A14-4EAC-8AA2-DA1D43476479}">
  <dimension ref="A1:G65"/>
  <sheetViews>
    <sheetView showGridLines="0" tabSelected="1" zoomScaleNormal="100" workbookViewId="0">
      <selection activeCell="G24" sqref="G24"/>
    </sheetView>
  </sheetViews>
  <sheetFormatPr defaultColWidth="0" defaultRowHeight="14.4" zeroHeight="1" x14ac:dyDescent="0.3"/>
  <cols>
    <col min="1" max="2" width="8.88671875" customWidth="1"/>
    <col min="3" max="3" width="11.5546875" customWidth="1"/>
    <col min="4" max="4" width="16.6640625" customWidth="1"/>
    <col min="5" max="5" width="41.77734375" customWidth="1"/>
    <col min="6" max="6" width="25.88671875" bestFit="1" customWidth="1"/>
    <col min="7" max="7" width="11.5546875" bestFit="1" customWidth="1"/>
    <col min="8" max="16384" width="8.88671875" hidden="1"/>
  </cols>
  <sheetData>
    <row r="1" spans="1:7" x14ac:dyDescent="0.3">
      <c r="A1" s="40"/>
      <c r="B1" s="41"/>
      <c r="C1" s="41"/>
      <c r="D1" s="41"/>
      <c r="E1" s="41"/>
      <c r="F1" s="44"/>
      <c r="G1" s="45"/>
    </row>
    <row r="2" spans="1:7" x14ac:dyDescent="0.3">
      <c r="A2" s="42"/>
      <c r="B2" s="43"/>
      <c r="C2" s="43"/>
      <c r="D2" s="43"/>
      <c r="E2" s="43"/>
      <c r="F2" s="47"/>
      <c r="G2" s="4"/>
    </row>
    <row r="3" spans="1:7" x14ac:dyDescent="0.3">
      <c r="A3" s="42"/>
      <c r="B3" s="43"/>
      <c r="C3" s="43"/>
      <c r="D3" s="43"/>
      <c r="E3" s="43"/>
      <c r="F3" s="47"/>
      <c r="G3" s="4"/>
    </row>
    <row r="4" spans="1:7" x14ac:dyDescent="0.3">
      <c r="A4" s="42"/>
      <c r="B4" s="43"/>
      <c r="C4" s="43"/>
      <c r="D4" s="43"/>
      <c r="E4" s="43"/>
      <c r="F4" s="47"/>
      <c r="G4" s="4"/>
    </row>
    <row r="5" spans="1:7" x14ac:dyDescent="0.3">
      <c r="A5" s="42"/>
      <c r="B5" s="43"/>
      <c r="C5" s="43"/>
      <c r="D5" s="43"/>
      <c r="E5" s="43"/>
      <c r="F5" s="47"/>
      <c r="G5" s="4"/>
    </row>
    <row r="6" spans="1:7" x14ac:dyDescent="0.3">
      <c r="A6" s="42"/>
      <c r="B6" s="43"/>
      <c r="C6" s="43"/>
      <c r="D6" s="43"/>
      <c r="E6" s="43"/>
      <c r="F6" s="47"/>
      <c r="G6" s="4"/>
    </row>
    <row r="7" spans="1:7" x14ac:dyDescent="0.3">
      <c r="A7" s="42"/>
      <c r="B7" s="43"/>
      <c r="C7" s="43"/>
      <c r="D7" s="43"/>
      <c r="E7" s="43"/>
      <c r="F7" s="47"/>
      <c r="G7" s="4"/>
    </row>
    <row r="8" spans="1:7" x14ac:dyDescent="0.3">
      <c r="A8" s="42"/>
      <c r="B8" s="43"/>
      <c r="C8" s="43"/>
      <c r="D8" s="43"/>
      <c r="E8" s="43"/>
      <c r="F8" s="47"/>
      <c r="G8" s="4"/>
    </row>
    <row r="9" spans="1:7" x14ac:dyDescent="0.3">
      <c r="A9" s="46"/>
      <c r="B9" s="47"/>
      <c r="C9" s="47"/>
      <c r="D9" s="47"/>
      <c r="E9" s="47"/>
      <c r="F9" s="47"/>
      <c r="G9" s="4"/>
    </row>
    <row r="10" spans="1:7" x14ac:dyDescent="0.3">
      <c r="A10" s="46"/>
      <c r="B10" s="47"/>
      <c r="C10" s="47"/>
      <c r="D10" s="47"/>
      <c r="E10" s="47"/>
      <c r="F10" s="47"/>
      <c r="G10" s="4"/>
    </row>
    <row r="11" spans="1:7" x14ac:dyDescent="0.3">
      <c r="A11" s="46"/>
      <c r="B11" s="47"/>
      <c r="C11" s="47"/>
      <c r="D11" s="47"/>
      <c r="E11" s="47"/>
      <c r="F11" s="47"/>
      <c r="G11" s="4"/>
    </row>
    <row r="12" spans="1:7" x14ac:dyDescent="0.3">
      <c r="A12" s="46"/>
      <c r="B12" s="47"/>
      <c r="C12" s="47"/>
      <c r="D12" s="47"/>
      <c r="E12" s="47"/>
      <c r="F12" s="47"/>
      <c r="G12" s="4"/>
    </row>
    <row r="13" spans="1:7" ht="15" thickBot="1" x14ac:dyDescent="0.35">
      <c r="A13" s="46"/>
      <c r="B13" s="47"/>
      <c r="C13" s="47"/>
      <c r="D13" s="47"/>
      <c r="E13" s="47"/>
      <c r="F13" s="47"/>
      <c r="G13" s="4"/>
    </row>
    <row r="14" spans="1:7" ht="25.8" x14ac:dyDescent="0.3">
      <c r="A14" s="46"/>
      <c r="B14" s="1" t="s">
        <v>23</v>
      </c>
      <c r="C14" s="2"/>
      <c r="D14" s="2"/>
      <c r="E14" s="3"/>
      <c r="F14" s="47"/>
      <c r="G14" s="4"/>
    </row>
    <row r="15" spans="1:7" ht="17.399999999999999" x14ac:dyDescent="0.35">
      <c r="A15" s="46"/>
      <c r="B15" s="8" t="s">
        <v>24</v>
      </c>
      <c r="C15" s="7"/>
      <c r="D15" s="7"/>
      <c r="E15" s="12">
        <v>2600</v>
      </c>
      <c r="F15" s="47"/>
      <c r="G15" s="4"/>
    </row>
    <row r="16" spans="1:7" ht="17.399999999999999" x14ac:dyDescent="0.35">
      <c r="A16" s="46"/>
      <c r="B16" s="8" t="s">
        <v>25</v>
      </c>
      <c r="C16" s="7"/>
      <c r="D16" s="7"/>
      <c r="E16" s="39">
        <v>0.01</v>
      </c>
      <c r="F16" s="47"/>
      <c r="G16" s="4"/>
    </row>
    <row r="17" spans="1:7" ht="17.399999999999999" x14ac:dyDescent="0.35">
      <c r="A17" s="46"/>
      <c r="B17" s="8" t="s">
        <v>26</v>
      </c>
      <c r="C17" s="7"/>
      <c r="D17" s="7"/>
      <c r="E17" s="58">
        <v>0.1</v>
      </c>
      <c r="F17" s="47"/>
      <c r="G17" s="4"/>
    </row>
    <row r="18" spans="1:7" x14ac:dyDescent="0.3">
      <c r="A18" s="46"/>
      <c r="B18" s="47"/>
      <c r="C18" s="47"/>
      <c r="D18" s="47"/>
      <c r="E18" s="47"/>
      <c r="F18" s="47"/>
      <c r="G18" s="4"/>
    </row>
    <row r="19" spans="1:7" ht="15" thickBot="1" x14ac:dyDescent="0.35">
      <c r="A19" s="46"/>
      <c r="B19" s="47"/>
      <c r="C19" s="47"/>
      <c r="D19" s="47"/>
      <c r="E19" s="47"/>
      <c r="F19" s="47"/>
      <c r="G19" s="4"/>
    </row>
    <row r="20" spans="1:7" ht="25.8" x14ac:dyDescent="0.3">
      <c r="A20" s="46"/>
      <c r="B20" s="1" t="s">
        <v>0</v>
      </c>
      <c r="C20" s="2"/>
      <c r="D20" s="2"/>
      <c r="E20" s="3"/>
      <c r="F20" s="47"/>
      <c r="G20" s="4"/>
    </row>
    <row r="21" spans="1:7" ht="17.399999999999999" x14ac:dyDescent="0.35">
      <c r="A21" s="46"/>
      <c r="B21" s="8" t="s">
        <v>1</v>
      </c>
      <c r="C21" s="7"/>
      <c r="D21" s="7"/>
      <c r="E21" s="12">
        <f>E15*E17</f>
        <v>260</v>
      </c>
      <c r="F21" s="47"/>
      <c r="G21" s="4"/>
    </row>
    <row r="22" spans="1:7" ht="17.399999999999999" x14ac:dyDescent="0.35">
      <c r="A22" s="46"/>
      <c r="B22" s="9" t="s">
        <v>2</v>
      </c>
      <c r="C22" s="6"/>
      <c r="D22" s="6"/>
      <c r="E22" s="11">
        <v>5</v>
      </c>
      <c r="F22" s="47"/>
      <c r="G22" s="4"/>
    </row>
    <row r="23" spans="1:7" ht="17.399999999999999" x14ac:dyDescent="0.35">
      <c r="A23" s="46"/>
      <c r="B23" s="9" t="s">
        <v>18</v>
      </c>
      <c r="C23" s="6"/>
      <c r="D23" s="6"/>
      <c r="E23" s="10">
        <v>1.09E-2</v>
      </c>
      <c r="F23" s="47"/>
      <c r="G23" s="4"/>
    </row>
    <row r="24" spans="1:7" ht="17.399999999999999" x14ac:dyDescent="0.3">
      <c r="A24" s="46"/>
      <c r="B24" s="24" t="s">
        <v>19</v>
      </c>
      <c r="C24" s="25"/>
      <c r="D24" s="26"/>
      <c r="E24" s="10">
        <f>(1+E23)^12-1</f>
        <v>0.13893347713220328</v>
      </c>
      <c r="F24" s="47"/>
      <c r="G24" s="4"/>
    </row>
    <row r="25" spans="1:7" ht="17.399999999999999" x14ac:dyDescent="0.35">
      <c r="A25" s="46"/>
      <c r="B25" s="52" t="s">
        <v>3</v>
      </c>
      <c r="C25" s="53"/>
      <c r="D25" s="53"/>
      <c r="E25" s="54">
        <f>FV(E23,12*E22,-E21)</f>
        <v>21859.675216337466</v>
      </c>
      <c r="F25" s="48"/>
      <c r="G25" s="49"/>
    </row>
    <row r="26" spans="1:7" ht="18" thickBot="1" x14ac:dyDescent="0.4">
      <c r="A26" s="46"/>
      <c r="B26" s="55" t="s">
        <v>4</v>
      </c>
      <c r="C26" s="56"/>
      <c r="D26" s="56"/>
      <c r="E26" s="57">
        <f>E25*E23</f>
        <v>238.27045985807837</v>
      </c>
      <c r="F26" s="47"/>
      <c r="G26" s="4"/>
    </row>
    <row r="27" spans="1:7" ht="15" thickBot="1" x14ac:dyDescent="0.35">
      <c r="A27" s="46"/>
      <c r="B27" s="47"/>
      <c r="C27" s="47"/>
      <c r="D27" s="47"/>
      <c r="E27" s="47"/>
      <c r="F27" s="47"/>
      <c r="G27" s="4"/>
    </row>
    <row r="28" spans="1:7" ht="25.8" x14ac:dyDescent="0.3">
      <c r="A28" s="46"/>
      <c r="B28" s="30" t="s">
        <v>21</v>
      </c>
      <c r="C28" s="31"/>
      <c r="D28" s="31"/>
      <c r="E28" s="31"/>
      <c r="F28" s="32" t="s">
        <v>22</v>
      </c>
      <c r="G28" s="4"/>
    </row>
    <row r="29" spans="1:7" ht="17.399999999999999" x14ac:dyDescent="0.35">
      <c r="A29" s="46"/>
      <c r="B29" s="23" t="s">
        <v>20</v>
      </c>
      <c r="C29" s="28"/>
      <c r="D29" s="29">
        <v>2</v>
      </c>
      <c r="E29" s="27">
        <f>FV($E$23,D29*12,-$E$21)</f>
        <v>7088.4459620584703</v>
      </c>
      <c r="F29" s="33">
        <f>E29*$E$16</f>
        <v>70.884459620584707</v>
      </c>
      <c r="G29" s="4"/>
    </row>
    <row r="30" spans="1:7" ht="17.399999999999999" x14ac:dyDescent="0.35">
      <c r="A30" s="46"/>
      <c r="B30" s="23" t="s">
        <v>20</v>
      </c>
      <c r="C30" s="28"/>
      <c r="D30" s="29">
        <v>5</v>
      </c>
      <c r="E30" s="27">
        <f t="shared" ref="E30:E33" si="0">FV($E$23,D30*12,-$E$21)</f>
        <v>21859.675216337466</v>
      </c>
      <c r="F30" s="33">
        <f t="shared" ref="F30:F33" si="1">E30*$E$16</f>
        <v>218.59675216337467</v>
      </c>
      <c r="G30" s="4"/>
    </row>
    <row r="31" spans="1:7" ht="17.399999999999999" x14ac:dyDescent="0.35">
      <c r="A31" s="46"/>
      <c r="B31" s="23" t="s">
        <v>20</v>
      </c>
      <c r="C31" s="28"/>
      <c r="D31" s="29">
        <v>10</v>
      </c>
      <c r="E31" s="27">
        <f t="shared" si="0"/>
        <v>63752.099917847911</v>
      </c>
      <c r="F31" s="33">
        <f t="shared" si="1"/>
        <v>637.52099917847909</v>
      </c>
      <c r="G31" s="4"/>
    </row>
    <row r="32" spans="1:7" ht="17.399999999999999" x14ac:dyDescent="0.35">
      <c r="A32" s="46"/>
      <c r="B32" s="23" t="s">
        <v>20</v>
      </c>
      <c r="C32" s="28"/>
      <c r="D32" s="29">
        <v>20</v>
      </c>
      <c r="E32" s="27">
        <f t="shared" si="0"/>
        <v>297893.42929298192</v>
      </c>
      <c r="F32" s="33">
        <f t="shared" si="1"/>
        <v>2978.9342929298191</v>
      </c>
      <c r="G32" s="4"/>
    </row>
    <row r="33" spans="1:7" ht="18" thickBot="1" x14ac:dyDescent="0.4">
      <c r="A33" s="46"/>
      <c r="B33" s="34" t="s">
        <v>20</v>
      </c>
      <c r="C33" s="35"/>
      <c r="D33" s="36">
        <v>30</v>
      </c>
      <c r="E33" s="37">
        <f t="shared" si="0"/>
        <v>1157820.5876485466</v>
      </c>
      <c r="F33" s="38">
        <f t="shared" si="1"/>
        <v>11578.205876485466</v>
      </c>
      <c r="G33" s="4"/>
    </row>
    <row r="34" spans="1:7" x14ac:dyDescent="0.3">
      <c r="A34" s="46"/>
      <c r="B34" s="47"/>
      <c r="C34" s="47"/>
      <c r="D34" s="47"/>
      <c r="E34" s="47"/>
      <c r="F34" s="47"/>
      <c r="G34" s="4"/>
    </row>
    <row r="35" spans="1:7" ht="15" thickBot="1" x14ac:dyDescent="0.35">
      <c r="A35" s="50"/>
      <c r="B35" s="51"/>
      <c r="C35" s="51"/>
      <c r="D35" s="51"/>
      <c r="E35" s="51"/>
      <c r="F35" s="51"/>
      <c r="G35" s="5"/>
    </row>
    <row r="36" spans="1:7" x14ac:dyDescent="0.3">
      <c r="A36" s="78"/>
      <c r="B36" s="79"/>
      <c r="C36" s="79"/>
      <c r="D36" s="79"/>
      <c r="E36" s="79"/>
      <c r="F36" s="79"/>
      <c r="G36" s="80"/>
    </row>
    <row r="37" spans="1:7" ht="15" thickBot="1" x14ac:dyDescent="0.35">
      <c r="A37" s="81"/>
      <c r="B37" s="82"/>
      <c r="C37" s="82"/>
      <c r="D37" s="82"/>
      <c r="E37" s="82"/>
      <c r="F37" s="82"/>
      <c r="G37" s="83"/>
    </row>
    <row r="38" spans="1:7" ht="21" x14ac:dyDescent="0.4">
      <c r="A38" s="81"/>
      <c r="B38" s="62" t="s">
        <v>27</v>
      </c>
      <c r="C38" s="63"/>
      <c r="D38" s="63"/>
      <c r="E38" s="63"/>
      <c r="F38" s="64" t="s">
        <v>9</v>
      </c>
      <c r="G38" s="83"/>
    </row>
    <row r="39" spans="1:7" ht="18" thickBot="1" x14ac:dyDescent="0.4">
      <c r="A39" s="81"/>
      <c r="B39" s="59" t="s">
        <v>28</v>
      </c>
      <c r="C39" s="60"/>
      <c r="D39" s="60"/>
      <c r="E39" s="61"/>
      <c r="F39" s="65">
        <f>E21</f>
        <v>260</v>
      </c>
      <c r="G39" s="83"/>
    </row>
    <row r="40" spans="1:7" x14ac:dyDescent="0.3">
      <c r="A40" s="81"/>
      <c r="B40" s="82"/>
      <c r="C40" s="82"/>
      <c r="D40" s="82"/>
      <c r="E40" s="82"/>
      <c r="F40" s="82"/>
      <c r="G40" s="83"/>
    </row>
    <row r="41" spans="1:7" ht="15" thickBot="1" x14ac:dyDescent="0.35">
      <c r="A41" s="81"/>
      <c r="B41" s="82"/>
      <c r="C41" s="82"/>
      <c r="D41" s="82"/>
      <c r="E41" s="82"/>
      <c r="F41" s="82"/>
      <c r="G41" s="83"/>
    </row>
    <row r="42" spans="1:7" ht="18" x14ac:dyDescent="0.3">
      <c r="A42" s="81"/>
      <c r="B42" s="68" t="s">
        <v>29</v>
      </c>
      <c r="C42" s="69"/>
      <c r="D42" s="69"/>
      <c r="E42" s="70" t="s">
        <v>30</v>
      </c>
      <c r="F42" s="71" t="s">
        <v>31</v>
      </c>
      <c r="G42" s="83"/>
    </row>
    <row r="43" spans="1:7" x14ac:dyDescent="0.3">
      <c r="A43" s="81"/>
      <c r="B43" s="72" t="s">
        <v>10</v>
      </c>
      <c r="C43" s="66"/>
      <c r="D43" s="66"/>
      <c r="E43" s="67">
        <f>VLOOKUP($F$38&amp;"-"&amp;B43,BASE!B2:E20,4,0)</f>
        <v>0.3</v>
      </c>
      <c r="F43" s="73">
        <f>E43*$F$39</f>
        <v>78</v>
      </c>
      <c r="G43" s="83"/>
    </row>
    <row r="44" spans="1:7" x14ac:dyDescent="0.3">
      <c r="A44" s="81"/>
      <c r="B44" s="72" t="s">
        <v>11</v>
      </c>
      <c r="C44" s="66"/>
      <c r="D44" s="66"/>
      <c r="E44" s="67">
        <f>VLOOKUP($F$38&amp;"-"&amp;B44,BASE!B3:E21,4,0)</f>
        <v>0.5</v>
      </c>
      <c r="F44" s="73">
        <f t="shared" ref="F44:F48" si="2">E44*$F$39</f>
        <v>130</v>
      </c>
      <c r="G44" s="83"/>
    </row>
    <row r="45" spans="1:7" x14ac:dyDescent="0.3">
      <c r="A45" s="81"/>
      <c r="B45" s="72" t="s">
        <v>12</v>
      </c>
      <c r="C45" s="66"/>
      <c r="D45" s="66"/>
      <c r="E45" s="67">
        <f>VLOOKUP($F$38&amp;"-"&amp;B45,BASE!B4:E22,4,0)</f>
        <v>0.1</v>
      </c>
      <c r="F45" s="73">
        <f t="shared" si="2"/>
        <v>26</v>
      </c>
      <c r="G45" s="83"/>
    </row>
    <row r="46" spans="1:7" x14ac:dyDescent="0.3">
      <c r="A46" s="81"/>
      <c r="B46" s="72" t="s">
        <v>13</v>
      </c>
      <c r="C46" s="66"/>
      <c r="D46" s="66"/>
      <c r="E46" s="67">
        <f>VLOOKUP($F$38&amp;"-"&amp;B46,BASE!B5:E23,4,0)</f>
        <v>0.1</v>
      </c>
      <c r="F46" s="73">
        <f t="shared" si="2"/>
        <v>26</v>
      </c>
      <c r="G46" s="83"/>
    </row>
    <row r="47" spans="1:7" x14ac:dyDescent="0.3">
      <c r="A47" s="81"/>
      <c r="B47" s="72" t="s">
        <v>14</v>
      </c>
      <c r="C47" s="66"/>
      <c r="D47" s="66"/>
      <c r="E47" s="67">
        <f>VLOOKUP($F$38&amp;"-"&amp;B47,BASE!B6:E24,4,0)</f>
        <v>0</v>
      </c>
      <c r="F47" s="73">
        <f t="shared" si="2"/>
        <v>0</v>
      </c>
      <c r="G47" s="83"/>
    </row>
    <row r="48" spans="1:7" ht="15" thickBot="1" x14ac:dyDescent="0.35">
      <c r="A48" s="81"/>
      <c r="B48" s="74" t="s">
        <v>15</v>
      </c>
      <c r="C48" s="75"/>
      <c r="D48" s="75"/>
      <c r="E48" s="76">
        <f>VLOOKUP($F$38&amp;"-"&amp;B48,BASE!B7:E25,4,0)</f>
        <v>0</v>
      </c>
      <c r="F48" s="77">
        <f t="shared" si="2"/>
        <v>0</v>
      </c>
      <c r="G48" s="83"/>
    </row>
    <row r="49" spans="1:7" x14ac:dyDescent="0.3">
      <c r="A49" s="81"/>
      <c r="B49" s="82"/>
      <c r="C49" s="82"/>
      <c r="D49" s="82"/>
      <c r="E49" s="82"/>
      <c r="F49" s="82"/>
      <c r="G49" s="83"/>
    </row>
    <row r="50" spans="1:7" x14ac:dyDescent="0.3">
      <c r="A50" s="81"/>
      <c r="B50" s="82"/>
      <c r="C50" s="82"/>
      <c r="D50" s="82"/>
      <c r="E50" s="85"/>
      <c r="F50" s="85"/>
      <c r="G50" s="86"/>
    </row>
    <row r="51" spans="1:7" x14ac:dyDescent="0.3">
      <c r="A51" s="81"/>
      <c r="B51" s="82"/>
      <c r="C51" s="82"/>
      <c r="D51" s="82"/>
      <c r="E51" s="85"/>
      <c r="F51" s="85"/>
      <c r="G51" s="86"/>
    </row>
    <row r="52" spans="1:7" x14ac:dyDescent="0.3">
      <c r="A52" s="81"/>
      <c r="B52" s="82"/>
      <c r="C52" s="82"/>
      <c r="D52" s="82"/>
      <c r="E52" s="82"/>
      <c r="F52" s="82"/>
      <c r="G52" s="83"/>
    </row>
    <row r="53" spans="1:7" x14ac:dyDescent="0.3">
      <c r="A53" s="81"/>
      <c r="B53" s="82"/>
      <c r="C53" s="82"/>
      <c r="D53" s="82"/>
      <c r="E53" s="82"/>
      <c r="F53" s="82"/>
      <c r="G53" s="83"/>
    </row>
    <row r="54" spans="1:7" x14ac:dyDescent="0.3">
      <c r="A54" s="81"/>
      <c r="B54" s="82"/>
      <c r="C54" s="82"/>
      <c r="D54" s="82"/>
      <c r="E54" s="82"/>
      <c r="F54" s="82"/>
      <c r="G54" s="83"/>
    </row>
    <row r="55" spans="1:7" x14ac:dyDescent="0.3">
      <c r="A55" s="81"/>
      <c r="B55" s="82"/>
      <c r="C55" s="82"/>
      <c r="D55" s="82"/>
      <c r="E55" s="82"/>
      <c r="F55" s="82"/>
      <c r="G55" s="83"/>
    </row>
    <row r="56" spans="1:7" x14ac:dyDescent="0.3">
      <c r="A56" s="81"/>
      <c r="B56" s="82"/>
      <c r="C56" s="82"/>
      <c r="D56" s="82"/>
      <c r="E56" s="82"/>
      <c r="F56" s="82"/>
      <c r="G56" s="83"/>
    </row>
    <row r="57" spans="1:7" x14ac:dyDescent="0.3">
      <c r="A57" s="81"/>
      <c r="B57" s="82"/>
      <c r="C57" s="82"/>
      <c r="D57" s="82"/>
      <c r="E57" s="82"/>
      <c r="F57" s="82"/>
      <c r="G57" s="83"/>
    </row>
    <row r="58" spans="1:7" x14ac:dyDescent="0.3">
      <c r="A58" s="81"/>
      <c r="B58" s="82"/>
      <c r="C58" s="82"/>
      <c r="D58" s="82"/>
      <c r="E58" s="82"/>
      <c r="F58" s="82"/>
      <c r="G58" s="83"/>
    </row>
    <row r="59" spans="1:7" x14ac:dyDescent="0.3">
      <c r="A59" s="81"/>
      <c r="B59" s="82"/>
      <c r="C59" s="82"/>
      <c r="D59" s="82"/>
      <c r="E59" s="82"/>
      <c r="F59" s="82"/>
      <c r="G59" s="83"/>
    </row>
    <row r="60" spans="1:7" x14ac:dyDescent="0.3">
      <c r="A60" s="81"/>
      <c r="B60" s="82"/>
      <c r="C60" s="82"/>
      <c r="D60" s="82"/>
      <c r="E60" s="82"/>
      <c r="F60" s="82"/>
      <c r="G60" s="83"/>
    </row>
    <row r="61" spans="1:7" x14ac:dyDescent="0.3">
      <c r="A61" s="81"/>
      <c r="B61" s="82"/>
      <c r="C61" s="82"/>
      <c r="D61" s="82"/>
      <c r="E61" s="82"/>
      <c r="F61" s="82"/>
      <c r="G61" s="83"/>
    </row>
    <row r="62" spans="1:7" x14ac:dyDescent="0.3">
      <c r="A62" s="81"/>
      <c r="B62" s="82"/>
      <c r="C62" s="82"/>
      <c r="D62" s="82"/>
      <c r="E62" s="82"/>
      <c r="F62" s="82"/>
      <c r="G62" s="83"/>
    </row>
    <row r="63" spans="1:7" x14ac:dyDescent="0.3">
      <c r="A63" s="81"/>
      <c r="B63" s="82"/>
      <c r="C63" s="82"/>
      <c r="D63" s="82"/>
      <c r="E63" s="82"/>
      <c r="F63" s="82"/>
      <c r="G63" s="83"/>
    </row>
    <row r="64" spans="1:7" x14ac:dyDescent="0.3">
      <c r="A64" s="81"/>
      <c r="B64" s="82"/>
      <c r="C64" s="82"/>
      <c r="D64" s="82"/>
      <c r="E64" s="82"/>
      <c r="F64" s="82"/>
      <c r="G64" s="83"/>
    </row>
    <row r="65" spans="1:7" ht="15" thickBot="1" x14ac:dyDescent="0.35">
      <c r="A65" s="84"/>
      <c r="B65" s="87"/>
      <c r="C65" s="87"/>
      <c r="D65" s="87"/>
      <c r="E65" s="87"/>
      <c r="F65" s="87"/>
      <c r="G65" s="88"/>
    </row>
  </sheetData>
  <mergeCells count="28">
    <mergeCell ref="B48:D48"/>
    <mergeCell ref="E50:G50"/>
    <mergeCell ref="E51:G51"/>
    <mergeCell ref="B47:D47"/>
    <mergeCell ref="B38:E38"/>
    <mergeCell ref="B39:E39"/>
    <mergeCell ref="B42:D42"/>
    <mergeCell ref="B43:D43"/>
    <mergeCell ref="B44:D44"/>
    <mergeCell ref="B45:D45"/>
    <mergeCell ref="B46:D46"/>
    <mergeCell ref="B14:E14"/>
    <mergeCell ref="B15:D15"/>
    <mergeCell ref="B16:D16"/>
    <mergeCell ref="B17:D17"/>
    <mergeCell ref="B32:C32"/>
    <mergeCell ref="B33:C33"/>
    <mergeCell ref="B20:E20"/>
    <mergeCell ref="B28:E28"/>
    <mergeCell ref="B24:D24"/>
    <mergeCell ref="B29:C29"/>
    <mergeCell ref="B30:C30"/>
    <mergeCell ref="B31:C31"/>
    <mergeCell ref="B21:D21"/>
    <mergeCell ref="B22:D22"/>
    <mergeCell ref="B23:D23"/>
    <mergeCell ref="B25:D25"/>
    <mergeCell ref="B26:D26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58A4E1A-4E9A-4529-A06C-8C99891AF3C8}">
          <x14:formula1>
            <xm:f>BASE!$C$3:$C$20</xm:f>
          </x14:formula1>
          <xm:sqref>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B12F5-E1F7-4EF1-AF66-6C6CC81283C0}">
  <dimension ref="B2:E21"/>
  <sheetViews>
    <sheetView workbookViewId="0">
      <selection activeCell="C6" sqref="C6"/>
    </sheetView>
  </sheetViews>
  <sheetFormatPr defaultRowHeight="14.4" x14ac:dyDescent="0.3"/>
  <cols>
    <col min="2" max="5" width="30" customWidth="1"/>
  </cols>
  <sheetData>
    <row r="2" spans="2:5" x14ac:dyDescent="0.3">
      <c r="B2" s="13" t="s">
        <v>5</v>
      </c>
      <c r="C2" s="13" t="s">
        <v>6</v>
      </c>
      <c r="D2" s="13" t="s">
        <v>7</v>
      </c>
      <c r="E2" s="13" t="s">
        <v>8</v>
      </c>
    </row>
    <row r="3" spans="2:5" x14ac:dyDescent="0.3">
      <c r="B3" s="14" t="str">
        <f>C3&amp;"-"&amp;D3</f>
        <v>CONSERVADOR-PAPEL</v>
      </c>
      <c r="C3" s="14" t="s">
        <v>9</v>
      </c>
      <c r="D3" s="15" t="s">
        <v>10</v>
      </c>
      <c r="E3" s="16">
        <v>0.3</v>
      </c>
    </row>
    <row r="4" spans="2:5" x14ac:dyDescent="0.3">
      <c r="B4" s="14" t="str">
        <f t="shared" ref="B4:B20" si="0">C4&amp;"-"&amp;D4</f>
        <v>CONSERVADOR-TIJOLO</v>
      </c>
      <c r="C4" s="14" t="s">
        <v>9</v>
      </c>
      <c r="D4" s="15" t="s">
        <v>11</v>
      </c>
      <c r="E4" s="16">
        <v>0.5</v>
      </c>
    </row>
    <row r="5" spans="2:5" x14ac:dyDescent="0.3">
      <c r="B5" s="14" t="str">
        <f t="shared" si="0"/>
        <v>CONSERVADOR-HÍBRIDOS</v>
      </c>
      <c r="C5" s="14" t="s">
        <v>9</v>
      </c>
      <c r="D5" s="15" t="s">
        <v>12</v>
      </c>
      <c r="E5" s="16">
        <v>0.1</v>
      </c>
    </row>
    <row r="6" spans="2:5" x14ac:dyDescent="0.3">
      <c r="B6" s="14" t="str">
        <f t="shared" si="0"/>
        <v>CONSERVADOR-FOFs</v>
      </c>
      <c r="C6" s="14" t="s">
        <v>9</v>
      </c>
      <c r="D6" s="15" t="s">
        <v>13</v>
      </c>
      <c r="E6" s="16">
        <v>0.1</v>
      </c>
    </row>
    <row r="7" spans="2:5" x14ac:dyDescent="0.3">
      <c r="B7" s="14" t="str">
        <f t="shared" si="0"/>
        <v>CONSERVADOR-DESENVOLVIMENTO</v>
      </c>
      <c r="C7" s="14" t="s">
        <v>9</v>
      </c>
      <c r="D7" s="15" t="s">
        <v>14</v>
      </c>
      <c r="E7" s="16">
        <v>0</v>
      </c>
    </row>
    <row r="8" spans="2:5" ht="15" thickBot="1" x14ac:dyDescent="0.35">
      <c r="B8" s="17" t="str">
        <f t="shared" si="0"/>
        <v>CONSERVADOR-HOTELARIAS</v>
      </c>
      <c r="C8" s="17" t="s">
        <v>9</v>
      </c>
      <c r="D8" s="18" t="s">
        <v>15</v>
      </c>
      <c r="E8" s="19">
        <v>0</v>
      </c>
    </row>
    <row r="9" spans="2:5" x14ac:dyDescent="0.3">
      <c r="B9" s="14" t="str">
        <f t="shared" si="0"/>
        <v>MODERADO-PAPEL</v>
      </c>
      <c r="C9" s="14" t="s">
        <v>16</v>
      </c>
      <c r="D9" s="15" t="s">
        <v>10</v>
      </c>
      <c r="E9" s="16">
        <v>0.32</v>
      </c>
    </row>
    <row r="10" spans="2:5" x14ac:dyDescent="0.3">
      <c r="B10" s="14" t="str">
        <f t="shared" si="0"/>
        <v>MODERADO-TIJOLO</v>
      </c>
      <c r="C10" s="14" t="s">
        <v>16</v>
      </c>
      <c r="D10" s="15" t="s">
        <v>11</v>
      </c>
      <c r="E10" s="16">
        <v>0.35</v>
      </c>
    </row>
    <row r="11" spans="2:5" x14ac:dyDescent="0.3">
      <c r="B11" s="14" t="str">
        <f t="shared" si="0"/>
        <v>MODERADO-HÍBRIDOS</v>
      </c>
      <c r="C11" s="14" t="s">
        <v>16</v>
      </c>
      <c r="D11" s="15" t="s">
        <v>12</v>
      </c>
      <c r="E11" s="16">
        <v>0.08</v>
      </c>
    </row>
    <row r="12" spans="2:5" x14ac:dyDescent="0.3">
      <c r="B12" s="14" t="str">
        <f t="shared" si="0"/>
        <v>MODERADO-FOFs</v>
      </c>
      <c r="C12" s="14" t="s">
        <v>16</v>
      </c>
      <c r="D12" s="15" t="s">
        <v>13</v>
      </c>
      <c r="E12" s="16">
        <v>0.05</v>
      </c>
    </row>
    <row r="13" spans="2:5" x14ac:dyDescent="0.3">
      <c r="B13" s="14" t="str">
        <f t="shared" si="0"/>
        <v>MODERADO-DESENVOLVIMENTO</v>
      </c>
      <c r="C13" s="14" t="s">
        <v>16</v>
      </c>
      <c r="D13" s="15" t="s">
        <v>14</v>
      </c>
      <c r="E13" s="16">
        <v>0.1</v>
      </c>
    </row>
    <row r="14" spans="2:5" ht="15" thickBot="1" x14ac:dyDescent="0.35">
      <c r="B14" s="17" t="str">
        <f t="shared" si="0"/>
        <v>MODERADO-HOTELARIAS</v>
      </c>
      <c r="C14" s="17" t="s">
        <v>16</v>
      </c>
      <c r="D14" s="18" t="s">
        <v>15</v>
      </c>
      <c r="E14" s="19">
        <v>0.1</v>
      </c>
    </row>
    <row r="15" spans="2:5" x14ac:dyDescent="0.3">
      <c r="B15" s="14" t="str">
        <f t="shared" si="0"/>
        <v>AGRESSIVO-PAPEL</v>
      </c>
      <c r="C15" s="14" t="s">
        <v>17</v>
      </c>
      <c r="D15" s="15" t="s">
        <v>10</v>
      </c>
      <c r="E15" s="16">
        <v>0.5</v>
      </c>
    </row>
    <row r="16" spans="2:5" x14ac:dyDescent="0.3">
      <c r="B16" s="14" t="str">
        <f t="shared" si="0"/>
        <v>AGRESSIVO-TIJOLO</v>
      </c>
      <c r="C16" s="14" t="s">
        <v>17</v>
      </c>
      <c r="D16" s="15" t="s">
        <v>11</v>
      </c>
      <c r="E16" s="16">
        <v>0.1</v>
      </c>
    </row>
    <row r="17" spans="2:5" x14ac:dyDescent="0.3">
      <c r="B17" s="14" t="str">
        <f t="shared" si="0"/>
        <v>AGRESSIVO-HÍBRIDOS</v>
      </c>
      <c r="C17" s="14" t="s">
        <v>17</v>
      </c>
      <c r="D17" s="15" t="s">
        <v>12</v>
      </c>
      <c r="E17" s="16">
        <v>0.05</v>
      </c>
    </row>
    <row r="18" spans="2:5" x14ac:dyDescent="0.3">
      <c r="B18" s="14" t="str">
        <f t="shared" si="0"/>
        <v>AGRESSIVO-FOFs</v>
      </c>
      <c r="C18" s="14" t="s">
        <v>17</v>
      </c>
      <c r="D18" s="15" t="s">
        <v>13</v>
      </c>
      <c r="E18" s="16">
        <v>0.05</v>
      </c>
    </row>
    <row r="19" spans="2:5" x14ac:dyDescent="0.3">
      <c r="B19" s="14" t="str">
        <f t="shared" si="0"/>
        <v>AGRESSIVO-DESENVOLVIMENTO</v>
      </c>
      <c r="C19" s="14" t="s">
        <v>17</v>
      </c>
      <c r="D19" s="15" t="s">
        <v>14</v>
      </c>
      <c r="E19" s="16">
        <v>0.2</v>
      </c>
    </row>
    <row r="20" spans="2:5" ht="15" thickBot="1" x14ac:dyDescent="0.35">
      <c r="B20" s="20" t="str">
        <f t="shared" si="0"/>
        <v>AGRESSIVO-HOTELARIAS</v>
      </c>
      <c r="C20" s="20" t="s">
        <v>17</v>
      </c>
      <c r="D20" s="21" t="s">
        <v>15</v>
      </c>
      <c r="E20" s="22">
        <v>0.1</v>
      </c>
    </row>
    <row r="21" spans="2:5" ht="15" thickTop="1" x14ac:dyDescent="0.3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SIMULADOR</vt:lpstr>
      <vt:lpstr>BASE</vt:lpstr>
      <vt:lpstr>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Souza</dc:creator>
  <cp:lastModifiedBy>Lucas Souza</cp:lastModifiedBy>
  <dcterms:created xsi:type="dcterms:W3CDTF">2026-09-15T11:17:44Z</dcterms:created>
  <dcterms:modified xsi:type="dcterms:W3CDTF">2026-09-16T13:40:01Z</dcterms:modified>
</cp:coreProperties>
</file>